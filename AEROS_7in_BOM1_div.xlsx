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divyam/Downloads/"/>
    </mc:Choice>
  </mc:AlternateContent>
  <xr:revisionPtr revIDLastSave="0" documentId="8_{0A05C158-51B0-5349-B105-929D2F701067}" xr6:coauthVersionLast="47" xr6:coauthVersionMax="47" xr10:uidLastSave="{00000000-0000-0000-0000-000000000000}"/>
  <bookViews>
    <workbookView xWindow="0" yWindow="660" windowWidth="29400" windowHeight="18460" tabRatio="500" xr2:uid="{00000000-000D-0000-FFFF-FFFF00000000}"/>
  </bookViews>
  <sheets>
    <sheet name="BOM" sheetId="2" r:id="rId1"/>
  </sheets>
  <definedNames>
    <definedName name="_xlnm._FilterDatabase" localSheetId="0" hidden="1">BOM!$A$4:$H$30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35" i="2" l="1"/>
  <c r="G34" i="2"/>
  <c r="G33" i="2"/>
  <c r="G32" i="2"/>
  <c r="G31" i="2"/>
  <c r="G30" i="2"/>
  <c r="G29" i="2"/>
  <c r="G28" i="2"/>
  <c r="G27" i="2"/>
  <c r="G25" i="2"/>
  <c r="G24" i="2"/>
  <c r="G23" i="2"/>
  <c r="G22" i="2"/>
  <c r="G19" i="2"/>
  <c r="G18" i="2"/>
  <c r="G17" i="2"/>
  <c r="G16" i="2"/>
  <c r="G15" i="2"/>
  <c r="G14" i="2"/>
  <c r="G13" i="2"/>
  <c r="G11" i="2"/>
  <c r="G10" i="2"/>
  <c r="G9" i="2"/>
  <c r="G8" i="2"/>
  <c r="G7" i="2"/>
  <c r="G6" i="2"/>
  <c r="G36" i="2" l="1"/>
</calcChain>
</file>

<file path=xl/sharedStrings.xml><?xml version="1.0" encoding="utf-8"?>
<sst xmlns="http://schemas.openxmlformats.org/spreadsheetml/2006/main" count="114" uniqueCount="74">
  <si>
    <t>Subsystem</t>
  </si>
  <si>
    <t>Flight Control &amp; Propulsion</t>
  </si>
  <si>
    <t>Tilt &amp; Ground Drive</t>
  </si>
  <si>
    <t>Power</t>
  </si>
  <si>
    <t>3D Printing &amp; Hardware</t>
  </si>
  <si>
    <t>Parts subtotal</t>
  </si>
  <si>
    <t>#</t>
  </si>
  <si>
    <t>Component</t>
  </si>
  <si>
    <t>Spec / Part</t>
  </si>
  <si>
    <t>Qty</t>
  </si>
  <si>
    <t>Unit Price (USD)</t>
  </si>
  <si>
    <t>Line Total (USD)</t>
  </si>
  <si>
    <t>Flight controller</t>
  </si>
  <si>
    <t>Matek H7A3-SLIM, ArduPilot, 11 PWM out, CAN</t>
  </si>
  <si>
    <t>Product page</t>
  </si>
  <si>
    <t>4-in-1 ESC</t>
  </si>
  <si>
    <t>SpeedyBee 55A 3-6S OX32 (AM32-based), 30.5x30.5</t>
  </si>
  <si>
    <t>Lift motors</t>
  </si>
  <si>
    <t>EMAX ECO III (E3) 2807 1300KV, 6S, 7in props</t>
  </si>
  <si>
    <t>Product page (pick 1300KV)</t>
  </si>
  <si>
    <t>Propellers</t>
  </si>
  <si>
    <t>7in tri-blade (HQProp 7x4x3 or Gemfan 7040), 2CW+2CCW per set</t>
  </si>
  <si>
    <t>ELRS receiver</t>
  </si>
  <si>
    <t>RadioMaster RP3 V2 2.4GHz diversity</t>
  </si>
  <si>
    <t>Transmitter</t>
  </si>
  <si>
    <t>Tilt servos</t>
  </si>
  <si>
    <t>DSServo DS3235SG 35 kg-cm, steel gear, waterproof</t>
  </si>
  <si>
    <t>Amazon search</t>
  </si>
  <si>
    <t>Servo BEC</t>
  </si>
  <si>
    <t>Matek UBEC DUO, 2 x 4A, 5-8V adjustable, 9-55V in</t>
  </si>
  <si>
    <t>Drive gearmotors</t>
  </si>
  <si>
    <t>Pololu micro metal gearmotor 250:1 HPCB 12V, extended shaft</t>
  </si>
  <si>
    <t>Drive controller</t>
  </si>
  <si>
    <t>ESP32-DevKitC (Espressif)</t>
  </si>
  <si>
    <t>Motor drivers</t>
  </si>
  <si>
    <t>Pololu TB6612FNG dual motor driver carrier</t>
  </si>
  <si>
    <t>12V regulator</t>
  </si>
  <si>
    <t>Pololu D36V28F12 (or equivalent) step-down, 6S in to 12V</t>
  </si>
  <si>
    <t>Bearings</t>
  </si>
  <si>
    <t>Flanged ball bearings (tilt axles + wheel hubs), 20 pack</t>
  </si>
  <si>
    <t>Amazon search (match your CAD sizes)</t>
  </si>
  <si>
    <t>Wiring &amp; connectors</t>
  </si>
  <si>
    <t>XT60/XT30, 12/14/18/22 AWG silicone wire, JST-GH/SH leads, heat shrink</t>
  </si>
  <si>
    <t>Smoke stopper</t>
  </si>
  <si>
    <t>XT60 smoke stopper for first power-up</t>
  </si>
  <si>
    <t>GetFPV search</t>
  </si>
  <si>
    <t>Charger</t>
  </si>
  <si>
    <t>6S balance charger with built-in AC (ToolkitRC M6AC class)</t>
  </si>
  <si>
    <t>Battery safety bag</t>
  </si>
  <si>
    <t>LiPo/Li-ion fireproof bag</t>
  </si>
  <si>
    <t>CF filament</t>
  </si>
  <si>
    <t>Screw assortment</t>
  </si>
  <si>
    <t>Stainless M2 / M2.5 / M3 hex, nylock nuts</t>
  </si>
  <si>
    <t>Heat-set inserts</t>
  </si>
  <si>
    <t>Brass M2.5 / M3 insert kit</t>
  </si>
  <si>
    <t>Consumables</t>
  </si>
  <si>
    <t>Threadlocker, zip ties, battery straps, double-sided foam</t>
  </si>
  <si>
    <t xml:space="preserve">RadioMaster Pocket </t>
  </si>
  <si>
    <t>https://motionrc.com/products/radiomaster-pocket-16-channel-elrs-transmitter-charcoal-hp0157-0054-m2?gad_source=1&amp;gad_campaignid=23757726221&amp;gbraid=0AAAAADrr98ZWJkUAv8GnFu_71upZFhMhv&amp;gclid=CjwKCAjw0LzWBhBOEiwAKQd0cHYq1ppROZBfLDS3q2CaiCa0KkktErPWUhd9itjtoTUc-FBoVPec1hoCVCIQAvD_BwE</t>
  </si>
  <si>
    <t>Battery</t>
  </si>
  <si>
    <t xml:space="preserve">6S 21700 Li-ion 5000Mah battery pack </t>
  </si>
  <si>
    <t>https://www.getfpv.com/lumenier-nav-5000mah-6s-21700-lithium-ion-battery-xt60.html?glid=CjwKCAjw88HWBhA3EiwAo2Zd6FhsaV2VrbWfbTFP7fpLl6Ozbzfv535xbh6af0yVlii0d_fLNQTr0BoCo1oQAvD_BwE&amp;afid=aVlOV0hBdmd6THc9&amp;referring_service=google-cpc&amp;utm_source=google&amp;utm_medium=cpc&amp;utm_campaign=DM%20-%20NB%20-%20PMax%20-%20Shop%20-%20SM%20-%20ALL%20%7C%20Full%20Funnel&amp;utm_content=pmax_x&amp;utm_keyword=&amp;utm_matchtype=&amp;campaign_id=17881616054&amp;network=x&amp;device=c&amp;gc_id=17881616054&amp;gad_source=1&amp;gad_campaignid=17177506287&amp;gbraid=0AAAAAD8cN5KRPo48a13E0qUDmXqd4cApw&amp;gclid=CjwKCAjw88HWBhA3EiwAo2Zd6FhsaV2VrbWfbTFP7fpLl6Ozbzfv535xbh6af0yVlii0d_fLNQTr0BoCo1oQAvD_BwE</t>
  </si>
  <si>
    <t>Tools</t>
  </si>
  <si>
    <t>Soldering Station</t>
  </si>
  <si>
    <t>Multimeter</t>
  </si>
  <si>
    <t>100W Soldering iron, solder, flux</t>
  </si>
  <si>
    <t>Toolls</t>
  </si>
  <si>
    <t>Wire cutters</t>
  </si>
  <si>
    <t>Wire stripper, cutters</t>
  </si>
  <si>
    <t>Wires</t>
  </si>
  <si>
    <t>Variety pack</t>
  </si>
  <si>
    <t>Heat shrink tubes</t>
  </si>
  <si>
    <t xml:space="preserve"> PLA-CF filament 1kg </t>
  </si>
  <si>
    <t>https://www.amazon.com/Creality-Filament-Hyper-PLA-CF-Dimensional/dp/B0CP7SFQG9/ref=sr_1_1_sspa?crid=2O8CA8ZYHR2DL&amp;dib=eyJ2IjoiMSJ9.rV6qQWiVuanAfyNsdQ9qy_GKSP68NC44nOZyqMIg9rBNjGhVYapvUOb_Rn1sjFbI5KnXbj7n--zxOSDD8tMqb9vZo4f2VDuCvPC1rJy1gqA9LXAom49iW1U_2KCKcE4D8F-qbdiJ60dXDKXIKTk1ziJqQM470vstKxToJiD9TViV9yaHNvtCAjyxC6TXfRYAqBUGFPahDSzsbYBGKozdf_CiXi98YMNfJj1G0w-1JvY.PAWOh2fXBfOdHX_Y1MM1PdwDjgSugfArffR0SATqjrQ&amp;dib_tag=se&amp;keywords=pla+cf&amp;qid=1792126110&amp;sprefix=pla+cf%2Caps%2C200&amp;sr=8-1-spons&amp;sp_csd=d2lkZ2V0TmFtZT1zcF9hdGY&amp;psc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</si>
</sst>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&quot;($&quot;#,##0.00\);\-"/>
  </numFmts>
  <fonts count="11" x14ac:knownFonts="1">
    <font>
      <sz val="11"/>
      <color theme="1"/>
      <name val="Calibri"/>
      <family val="2"/>
      <charset val="1"/>
    </font>
    <font>
      <b/>
      <sz val="14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0000FF"/>
      <name val="Arial"/>
      <family val="2"/>
    </font>
    <font>
      <i/>
      <sz val="11"/>
      <color rgb="FF555555"/>
      <name val="Arial"/>
      <family val="2"/>
    </font>
    <font>
      <u/>
      <sz val="11"/>
      <color rgb="FF0563C1"/>
      <name val="Arial"/>
      <family val="2"/>
    </font>
    <font>
      <u/>
      <sz val="11"/>
      <color theme="10"/>
      <name val="Calibri"/>
      <family val="2"/>
      <charset val="1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2A37"/>
        <bgColor rgb="FF333300"/>
      </patternFill>
    </fill>
    <fill>
      <patternFill patternType="solid">
        <fgColor rgb="FFE8EEF4"/>
        <bgColor rgb="FFFFFFFF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rgb="FFC9D1DA"/>
      </left>
      <right style="thin">
        <color rgb="FFC9D1DA"/>
      </right>
      <top style="thin">
        <color rgb="FFC9D1DA"/>
      </top>
      <bottom style="thin">
        <color rgb="FFC9D1DA"/>
      </bottom>
      <diagonal/>
    </border>
    <border>
      <left style="thin">
        <color rgb="FFC9D1DA"/>
      </left>
      <right style="thin">
        <color rgb="FFC9D1DA"/>
      </right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/>
    <xf numFmtId="164" fontId="5" fillId="0" borderId="0" xfId="0" applyNumberFormat="1" applyFont="1"/>
    <xf numFmtId="0" fontId="7" fillId="0" borderId="0" xfId="0" applyFont="1"/>
    <xf numFmtId="0" fontId="3" fillId="2" borderId="1" xfId="0" applyFont="1" applyFill="1" applyBorder="1" applyAlignment="1">
      <alignment vertical="center" wrapText="1"/>
    </xf>
    <xf numFmtId="0" fontId="5" fillId="3" borderId="0" xfId="0" applyFont="1" applyFill="1"/>
    <xf numFmtId="0" fontId="2" fillId="3" borderId="0" xfId="0" applyFont="1" applyFill="1"/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/>
    </xf>
    <xf numFmtId="164" fontId="6" fillId="0" borderId="1" xfId="0" applyNumberFormat="1" applyFont="1" applyBorder="1" applyAlignment="1">
      <alignment vertical="top"/>
    </xf>
    <xf numFmtId="164" fontId="4" fillId="0" borderId="1" xfId="0" applyNumberFormat="1" applyFont="1" applyBorder="1" applyAlignment="1">
      <alignment vertical="top"/>
    </xf>
    <xf numFmtId="0" fontId="8" fillId="0" borderId="1" xfId="0" applyFont="1" applyBorder="1"/>
    <xf numFmtId="0" fontId="10" fillId="0" borderId="1" xfId="0" applyFont="1" applyBorder="1" applyAlignment="1">
      <alignment vertical="top" wrapText="1"/>
    </xf>
    <xf numFmtId="0" fontId="9" fillId="0" borderId="1" xfId="1" applyBorder="1"/>
    <xf numFmtId="0" fontId="4" fillId="4" borderId="1" xfId="0" applyFont="1" applyFill="1" applyBorder="1" applyAlignment="1">
      <alignment vertical="top"/>
    </xf>
    <xf numFmtId="0" fontId="4" fillId="5" borderId="1" xfId="0" applyFont="1" applyFill="1" applyBorder="1" applyAlignment="1">
      <alignment vertical="top"/>
    </xf>
    <xf numFmtId="164" fontId="6" fillId="0" borderId="2" xfId="0" applyNumberFormat="1" applyFont="1" applyBorder="1" applyAlignment="1">
      <alignment vertical="top"/>
    </xf>
    <xf numFmtId="0" fontId="4" fillId="4" borderId="0" xfId="0" applyFont="1" applyFill="1" applyAlignment="1">
      <alignment vertical="top"/>
    </xf>
    <xf numFmtId="0" fontId="4" fillId="0" borderId="0" xfId="0" applyFont="1" applyAlignment="1">
      <alignment vertical="top" wrapText="1"/>
    </xf>
    <xf numFmtId="0" fontId="6" fillId="0" borderId="0" xfId="0" applyFont="1" applyAlignment="1">
      <alignment vertical="top"/>
    </xf>
    <xf numFmtId="164" fontId="6" fillId="0" borderId="0" xfId="0" applyNumberFormat="1" applyFont="1" applyAlignment="1">
      <alignment vertical="top"/>
    </xf>
    <xf numFmtId="164" fontId="4" fillId="0" borderId="0" xfId="0" applyNumberFormat="1" applyFont="1" applyAlignment="1">
      <alignment vertical="top"/>
    </xf>
    <xf numFmtId="0" fontId="2" fillId="4" borderId="0" xfId="0" applyFont="1" applyFill="1"/>
    <xf numFmtId="0" fontId="5" fillId="6" borderId="0" xfId="0" applyFont="1" applyFill="1"/>
    <xf numFmtId="164" fontId="5" fillId="6" borderId="0" xfId="0" applyNumberFormat="1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EEF4"/>
      <rgbColor rgb="FF660066"/>
      <rgbColor rgb="FFFF8080"/>
      <rgbColor rgb="FF0563C1"/>
      <rgbColor rgb="FFC9D1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yfpvstore.com/9l3r" TargetMode="External"/><Relationship Id="rId13" Type="http://schemas.openxmlformats.org/officeDocument/2006/relationships/hyperlink" Target="https://www.amazon.com/s?k=flanged+ball+bearing+assortment" TargetMode="External"/><Relationship Id="rId18" Type="http://schemas.openxmlformats.org/officeDocument/2006/relationships/hyperlink" Target="https://www.amazon.com/s?k=M2+M2.5+M3+stainless+hex+socket+screw+assortment" TargetMode="External"/><Relationship Id="rId3" Type="http://schemas.openxmlformats.org/officeDocument/2006/relationships/hyperlink" Target="https://www.racedayquads.com/products/emax-e3-series-2807-motor-1300kv-1500kv-1700kv" TargetMode="External"/><Relationship Id="rId7" Type="http://schemas.openxmlformats.org/officeDocument/2006/relationships/hyperlink" Target="https://www.amazon.com/s?k=DSServo+DS3235SG+35kg+servo" TargetMode="External"/><Relationship Id="rId12" Type="http://schemas.openxmlformats.org/officeDocument/2006/relationships/hyperlink" Target="https://www.pololu.com/product/3786" TargetMode="External"/><Relationship Id="rId17" Type="http://schemas.openxmlformats.org/officeDocument/2006/relationships/hyperlink" Target="https://www.amazon.com/s?k=lipo+safe+bag" TargetMode="External"/><Relationship Id="rId2" Type="http://schemas.openxmlformats.org/officeDocument/2006/relationships/hyperlink" Target="https://www.getfpv.com/speedybee-55a-3-6s-ox32-4-in-1-esc-30-5x30-5.html" TargetMode="External"/><Relationship Id="rId16" Type="http://schemas.openxmlformats.org/officeDocument/2006/relationships/hyperlink" Target="https://www.getfpv.com/toolkitrc-m6ac-300w-15a-1-6s-ac-charger-xt60.html" TargetMode="External"/><Relationship Id="rId20" Type="http://schemas.openxmlformats.org/officeDocument/2006/relationships/hyperlink" Target="https://www.amazon.com/s?k=blue+threadlocker+zip+ties+battery+strap" TargetMode="External"/><Relationship Id="rId1" Type="http://schemas.openxmlformats.org/officeDocument/2006/relationships/hyperlink" Target="https://www.nextfpv.com/products/matek-flight-controller-h7a3-slim" TargetMode="External"/><Relationship Id="rId6" Type="http://schemas.openxmlformats.org/officeDocument/2006/relationships/hyperlink" Target="https://motionrc.com/products/radiomaster-pocket-16-channel-elrs-transmitter-charcoal-hp0157-0054-m2?gad_source=1&amp;gad_campaignid=23757726221&amp;gbraid=0AAAAADrr98ZWJkUAv8GnFu_71upZFhMhv&amp;gclid=CjwKCAjw0LzWBhBOEiwAKQd0cHYq1ppROZBfLDS3q2CaiCa0KkktErPWUhd9itjtoTUc-FBoVPec1hoCVCIQAvD_BwE" TargetMode="External"/><Relationship Id="rId11" Type="http://schemas.openxmlformats.org/officeDocument/2006/relationships/hyperlink" Target="https://www.pololu.com/product/713" TargetMode="External"/><Relationship Id="rId5" Type="http://schemas.openxmlformats.org/officeDocument/2006/relationships/hyperlink" Target="https://www.buddyrc.com/collections/receiver/products/radiomaster-rp3-expresslrs-2-4ghz-nano-receiver" TargetMode="External"/><Relationship Id="rId15" Type="http://schemas.openxmlformats.org/officeDocument/2006/relationships/hyperlink" Target="https://www.getfpv.com/catalogsearch/result/?q=smoke+stopper+xt60" TargetMode="External"/><Relationship Id="rId10" Type="http://schemas.openxmlformats.org/officeDocument/2006/relationships/hyperlink" Target="https://www.digikey.com/en/products/detail/espressif-systems/ESP32-DEVKITC-32E/12091810" TargetMode="External"/><Relationship Id="rId19" Type="http://schemas.openxmlformats.org/officeDocument/2006/relationships/hyperlink" Target="https://www.amazon.com/s?k=brass+heat+set+inserts+M3+M2.5+kit" TargetMode="External"/><Relationship Id="rId4" Type="http://schemas.openxmlformats.org/officeDocument/2006/relationships/hyperlink" Target="https://www.racedayquads.com/products/hq-durable-7x4x3-tri-blade-7-prop-4-pack" TargetMode="External"/><Relationship Id="rId9" Type="http://schemas.openxmlformats.org/officeDocument/2006/relationships/hyperlink" Target="https://www.pololu.com/product/3055" TargetMode="External"/><Relationship Id="rId14" Type="http://schemas.openxmlformats.org/officeDocument/2006/relationships/hyperlink" Target="https://www.amazon.com/s?k=XT60+connectors+silicone+wire+k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6"/>
  <sheetViews>
    <sheetView tabSelected="1" zoomScale="110" zoomScaleNormal="11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K5" sqref="K5"/>
    </sheetView>
  </sheetViews>
  <sheetFormatPr baseColWidth="10" defaultColWidth="8.6640625" defaultRowHeight="15" x14ac:dyDescent="0.2"/>
  <cols>
    <col min="1" max="1" width="5" customWidth="1"/>
    <col min="2" max="2" width="24" customWidth="1"/>
    <col min="3" max="3" width="20" customWidth="1"/>
    <col min="4" max="4" width="46" customWidth="1"/>
    <col min="5" max="5" width="7" customWidth="1"/>
    <col min="6" max="6" width="14" customWidth="1"/>
    <col min="7" max="7" width="15" customWidth="1"/>
    <col min="8" max="8" width="34" customWidth="1"/>
  </cols>
  <sheetData>
    <row r="1" spans="1:12" ht="18" x14ac:dyDescent="0.2">
      <c r="A1" s="1"/>
      <c r="B1" s="2"/>
      <c r="C1" s="2"/>
      <c r="D1" s="2"/>
      <c r="E1" s="2"/>
      <c r="F1" s="2"/>
      <c r="G1" s="2"/>
      <c r="H1" s="2"/>
    </row>
    <row r="2" spans="1:12" x14ac:dyDescent="0.2">
      <c r="A2" s="5"/>
      <c r="B2" s="2"/>
      <c r="C2" s="2"/>
      <c r="D2" s="2"/>
      <c r="E2" s="2"/>
      <c r="F2" s="2"/>
      <c r="G2" s="2"/>
      <c r="H2" s="2"/>
    </row>
    <row r="3" spans="1:12" x14ac:dyDescent="0.2">
      <c r="A3" s="2"/>
      <c r="B3" s="2"/>
      <c r="C3" s="2"/>
      <c r="D3" s="2"/>
      <c r="E3" s="2"/>
      <c r="F3" s="2"/>
      <c r="G3" s="2"/>
      <c r="H3" s="2"/>
    </row>
    <row r="4" spans="1:12" ht="30" customHeight="1" x14ac:dyDescent="0.2">
      <c r="A4" s="6" t="s">
        <v>6</v>
      </c>
      <c r="B4" s="6" t="s">
        <v>0</v>
      </c>
      <c r="C4" s="6" t="s">
        <v>7</v>
      </c>
      <c r="D4" s="6" t="s">
        <v>8</v>
      </c>
      <c r="E4" s="6" t="s">
        <v>9</v>
      </c>
      <c r="F4" s="6" t="s">
        <v>10</v>
      </c>
      <c r="G4" s="6" t="s">
        <v>11</v>
      </c>
      <c r="L4" s="6"/>
    </row>
    <row r="5" spans="1:12" x14ac:dyDescent="0.2">
      <c r="A5" s="7" t="s">
        <v>1</v>
      </c>
      <c r="B5" s="8"/>
      <c r="C5" s="8"/>
      <c r="D5" s="8"/>
      <c r="E5" s="8"/>
      <c r="F5" s="8"/>
      <c r="G5" s="8"/>
      <c r="H5" s="8"/>
    </row>
    <row r="6" spans="1:12" x14ac:dyDescent="0.2">
      <c r="A6" s="9">
        <v>1</v>
      </c>
      <c r="B6" s="17" t="s">
        <v>1</v>
      </c>
      <c r="C6" s="17" t="s">
        <v>12</v>
      </c>
      <c r="D6" s="10" t="s">
        <v>13</v>
      </c>
      <c r="E6" s="11">
        <v>1</v>
      </c>
      <c r="F6" s="12">
        <v>79</v>
      </c>
      <c r="G6" s="13">
        <f t="shared" ref="G6:G11" si="0">E6*F6</f>
        <v>79</v>
      </c>
      <c r="H6" s="14" t="s">
        <v>14</v>
      </c>
    </row>
    <row r="7" spans="1:12" x14ac:dyDescent="0.2">
      <c r="A7" s="9">
        <v>2</v>
      </c>
      <c r="B7" s="17" t="s">
        <v>1</v>
      </c>
      <c r="C7" s="17" t="s">
        <v>15</v>
      </c>
      <c r="D7" s="10" t="s">
        <v>16</v>
      </c>
      <c r="E7" s="11">
        <v>1</v>
      </c>
      <c r="F7" s="12">
        <v>79.989999999999995</v>
      </c>
      <c r="G7" s="13">
        <f t="shared" si="0"/>
        <v>79.989999999999995</v>
      </c>
      <c r="H7" s="14" t="s">
        <v>14</v>
      </c>
    </row>
    <row r="8" spans="1:12" x14ac:dyDescent="0.2">
      <c r="A8" s="9">
        <v>3</v>
      </c>
      <c r="B8" s="17" t="s">
        <v>1</v>
      </c>
      <c r="C8" s="17" t="s">
        <v>17</v>
      </c>
      <c r="D8" s="10" t="s">
        <v>18</v>
      </c>
      <c r="E8" s="11">
        <v>5</v>
      </c>
      <c r="F8" s="12">
        <v>23.99</v>
      </c>
      <c r="G8" s="13">
        <f t="shared" si="0"/>
        <v>119.94999999999999</v>
      </c>
      <c r="H8" s="14" t="s">
        <v>19</v>
      </c>
    </row>
    <row r="9" spans="1:12" ht="30" x14ac:dyDescent="0.2">
      <c r="A9" s="9">
        <v>4</v>
      </c>
      <c r="B9" s="17" t="s">
        <v>1</v>
      </c>
      <c r="C9" s="17" t="s">
        <v>20</v>
      </c>
      <c r="D9" s="10" t="s">
        <v>21</v>
      </c>
      <c r="E9" s="11">
        <v>5</v>
      </c>
      <c r="F9" s="12">
        <v>6</v>
      </c>
      <c r="G9" s="13">
        <f t="shared" si="0"/>
        <v>30</v>
      </c>
      <c r="H9" s="14" t="s">
        <v>14</v>
      </c>
    </row>
    <row r="10" spans="1:12" x14ac:dyDescent="0.2">
      <c r="A10" s="9">
        <v>6</v>
      </c>
      <c r="B10" s="17" t="s">
        <v>1</v>
      </c>
      <c r="C10" s="17" t="s">
        <v>22</v>
      </c>
      <c r="D10" s="10" t="s">
        <v>23</v>
      </c>
      <c r="E10" s="11">
        <v>1</v>
      </c>
      <c r="F10" s="12">
        <v>22</v>
      </c>
      <c r="G10" s="13">
        <f t="shared" si="0"/>
        <v>22</v>
      </c>
      <c r="H10" s="14" t="s">
        <v>14</v>
      </c>
    </row>
    <row r="11" spans="1:12" x14ac:dyDescent="0.2">
      <c r="A11" s="9">
        <v>7</v>
      </c>
      <c r="B11" s="17" t="s">
        <v>1</v>
      </c>
      <c r="C11" s="17" t="s">
        <v>24</v>
      </c>
      <c r="D11" s="15" t="s">
        <v>57</v>
      </c>
      <c r="E11" s="11">
        <v>1</v>
      </c>
      <c r="F11" s="12">
        <v>80</v>
      </c>
      <c r="G11" s="13">
        <f t="shared" si="0"/>
        <v>80</v>
      </c>
      <c r="H11" s="16" t="s">
        <v>58</v>
      </c>
    </row>
    <row r="12" spans="1:12" x14ac:dyDescent="0.2">
      <c r="A12" s="7" t="s">
        <v>2</v>
      </c>
      <c r="B12" s="8"/>
      <c r="C12" s="8"/>
      <c r="D12" s="8"/>
      <c r="E12" s="8"/>
      <c r="F12" s="8"/>
      <c r="G12" s="8"/>
      <c r="H12" s="8"/>
    </row>
    <row r="13" spans="1:12" x14ac:dyDescent="0.2">
      <c r="A13" s="9">
        <v>8</v>
      </c>
      <c r="B13" s="17" t="s">
        <v>2</v>
      </c>
      <c r="C13" s="17" t="s">
        <v>25</v>
      </c>
      <c r="D13" s="10" t="s">
        <v>26</v>
      </c>
      <c r="E13" s="11">
        <v>5</v>
      </c>
      <c r="F13" s="12">
        <v>28</v>
      </c>
      <c r="G13" s="13">
        <f t="shared" ref="G13:G19" si="1">E13*F13</f>
        <v>140</v>
      </c>
      <c r="H13" s="14" t="s">
        <v>27</v>
      </c>
    </row>
    <row r="14" spans="1:12" x14ac:dyDescent="0.2">
      <c r="A14" s="9">
        <v>9</v>
      </c>
      <c r="B14" s="17" t="s">
        <v>2</v>
      </c>
      <c r="C14" s="17" t="s">
        <v>28</v>
      </c>
      <c r="D14" s="10" t="s">
        <v>29</v>
      </c>
      <c r="E14" s="11">
        <v>2</v>
      </c>
      <c r="F14" s="12">
        <v>16</v>
      </c>
      <c r="G14" s="13">
        <f t="shared" si="1"/>
        <v>32</v>
      </c>
      <c r="H14" s="14" t="s">
        <v>14</v>
      </c>
    </row>
    <row r="15" spans="1:12" ht="30" x14ac:dyDescent="0.2">
      <c r="A15" s="9">
        <v>10</v>
      </c>
      <c r="B15" s="17" t="s">
        <v>2</v>
      </c>
      <c r="C15" s="17" t="s">
        <v>30</v>
      </c>
      <c r="D15" s="10" t="s">
        <v>31</v>
      </c>
      <c r="E15" s="11">
        <v>4</v>
      </c>
      <c r="F15" s="12">
        <v>27</v>
      </c>
      <c r="G15" s="13">
        <f t="shared" si="1"/>
        <v>108</v>
      </c>
      <c r="H15" s="14" t="s">
        <v>14</v>
      </c>
    </row>
    <row r="16" spans="1:12" x14ac:dyDescent="0.2">
      <c r="A16" s="9">
        <v>12</v>
      </c>
      <c r="B16" s="17" t="s">
        <v>2</v>
      </c>
      <c r="C16" s="17" t="s">
        <v>32</v>
      </c>
      <c r="D16" s="10" t="s">
        <v>33</v>
      </c>
      <c r="E16" s="11">
        <v>1</v>
      </c>
      <c r="F16" s="12">
        <v>10</v>
      </c>
      <c r="G16" s="13">
        <f t="shared" si="1"/>
        <v>10</v>
      </c>
      <c r="H16" s="14" t="s">
        <v>14</v>
      </c>
    </row>
    <row r="17" spans="1:8" x14ac:dyDescent="0.2">
      <c r="A17" s="9">
        <v>13</v>
      </c>
      <c r="B17" s="17" t="s">
        <v>2</v>
      </c>
      <c r="C17" s="17" t="s">
        <v>34</v>
      </c>
      <c r="D17" s="10" t="s">
        <v>35</v>
      </c>
      <c r="E17" s="11">
        <v>2</v>
      </c>
      <c r="F17" s="12">
        <v>6</v>
      </c>
      <c r="G17" s="13">
        <f t="shared" si="1"/>
        <v>12</v>
      </c>
      <c r="H17" s="14" t="s">
        <v>14</v>
      </c>
    </row>
    <row r="18" spans="1:8" ht="30" x14ac:dyDescent="0.2">
      <c r="A18" s="9">
        <v>14</v>
      </c>
      <c r="B18" s="17" t="s">
        <v>2</v>
      </c>
      <c r="C18" s="17" t="s">
        <v>36</v>
      </c>
      <c r="D18" s="10" t="s">
        <v>37</v>
      </c>
      <c r="E18" s="11">
        <v>1</v>
      </c>
      <c r="F18" s="12">
        <v>18</v>
      </c>
      <c r="G18" s="13">
        <f t="shared" si="1"/>
        <v>18</v>
      </c>
      <c r="H18" s="14" t="s">
        <v>14</v>
      </c>
    </row>
    <row r="19" spans="1:8" ht="30" x14ac:dyDescent="0.2">
      <c r="A19" s="9">
        <v>15</v>
      </c>
      <c r="B19" s="18" t="s">
        <v>2</v>
      </c>
      <c r="C19" s="18" t="s">
        <v>38</v>
      </c>
      <c r="D19" s="10" t="s">
        <v>39</v>
      </c>
      <c r="E19" s="11">
        <v>1</v>
      </c>
      <c r="F19" s="12">
        <v>15</v>
      </c>
      <c r="G19" s="13">
        <f t="shared" si="1"/>
        <v>15</v>
      </c>
      <c r="H19" s="14" t="s">
        <v>40</v>
      </c>
    </row>
    <row r="20" spans="1:8" x14ac:dyDescent="0.2">
      <c r="A20" s="7" t="s">
        <v>3</v>
      </c>
      <c r="B20" s="8"/>
      <c r="C20" s="8"/>
      <c r="D20" s="8"/>
      <c r="E20" s="8"/>
      <c r="F20" s="8"/>
      <c r="G20" s="8"/>
      <c r="H20" s="8"/>
    </row>
    <row r="21" spans="1:8" x14ac:dyDescent="0.2">
      <c r="A21" s="9">
        <v>17</v>
      </c>
      <c r="B21" s="17" t="s">
        <v>59</v>
      </c>
      <c r="C21" s="17"/>
      <c r="D21" s="10" t="s">
        <v>60</v>
      </c>
      <c r="E21" s="11">
        <v>2</v>
      </c>
      <c r="F21" s="12">
        <v>100</v>
      </c>
      <c r="G21" s="13">
        <v>200</v>
      </c>
      <c r="H21" s="14" t="s">
        <v>61</v>
      </c>
    </row>
    <row r="22" spans="1:8" ht="30" x14ac:dyDescent="0.2">
      <c r="A22" s="9">
        <v>19</v>
      </c>
      <c r="B22" s="17" t="s">
        <v>3</v>
      </c>
      <c r="C22" s="17" t="s">
        <v>41</v>
      </c>
      <c r="D22" s="10" t="s">
        <v>42</v>
      </c>
      <c r="E22" s="11">
        <v>1</v>
      </c>
      <c r="F22" s="12">
        <v>40</v>
      </c>
      <c r="G22" s="13">
        <f t="shared" ref="G22:G25" si="2">E22*F22</f>
        <v>40</v>
      </c>
      <c r="H22" s="14" t="s">
        <v>27</v>
      </c>
    </row>
    <row r="23" spans="1:8" x14ac:dyDescent="0.2">
      <c r="A23" s="9">
        <v>20</v>
      </c>
      <c r="B23" s="17" t="s">
        <v>3</v>
      </c>
      <c r="C23" s="17" t="s">
        <v>43</v>
      </c>
      <c r="D23" s="10" t="s">
        <v>44</v>
      </c>
      <c r="E23" s="11">
        <v>1</v>
      </c>
      <c r="F23" s="12">
        <v>15</v>
      </c>
      <c r="G23" s="13">
        <f t="shared" si="2"/>
        <v>15</v>
      </c>
      <c r="H23" s="14" t="s">
        <v>45</v>
      </c>
    </row>
    <row r="24" spans="1:8" ht="30" x14ac:dyDescent="0.2">
      <c r="A24" s="9">
        <v>21</v>
      </c>
      <c r="B24" s="17" t="s">
        <v>3</v>
      </c>
      <c r="C24" s="17" t="s">
        <v>46</v>
      </c>
      <c r="D24" s="10" t="s">
        <v>47</v>
      </c>
      <c r="E24" s="11">
        <v>1</v>
      </c>
      <c r="F24" s="12">
        <v>65</v>
      </c>
      <c r="G24" s="13">
        <f t="shared" si="2"/>
        <v>65</v>
      </c>
      <c r="H24" s="14" t="s">
        <v>14</v>
      </c>
    </row>
    <row r="25" spans="1:8" x14ac:dyDescent="0.2">
      <c r="A25" s="9">
        <v>22</v>
      </c>
      <c r="B25" s="17" t="s">
        <v>3</v>
      </c>
      <c r="C25" s="17" t="s">
        <v>48</v>
      </c>
      <c r="D25" s="10" t="s">
        <v>49</v>
      </c>
      <c r="E25" s="11">
        <v>1</v>
      </c>
      <c r="F25" s="12">
        <v>15</v>
      </c>
      <c r="G25" s="13">
        <f t="shared" si="2"/>
        <v>15</v>
      </c>
      <c r="H25" s="14" t="s">
        <v>27</v>
      </c>
    </row>
    <row r="26" spans="1:8" x14ac:dyDescent="0.2">
      <c r="A26" s="7" t="s">
        <v>4</v>
      </c>
      <c r="B26" s="8"/>
      <c r="C26" s="8"/>
      <c r="D26" s="8"/>
      <c r="E26" s="8"/>
      <c r="F26" s="8"/>
      <c r="G26" s="8"/>
      <c r="H26" s="8"/>
    </row>
    <row r="27" spans="1:8" x14ac:dyDescent="0.2">
      <c r="A27" s="9">
        <v>24</v>
      </c>
      <c r="B27" s="17" t="s">
        <v>4</v>
      </c>
      <c r="C27" s="17" t="s">
        <v>50</v>
      </c>
      <c r="D27" s="10" t="s">
        <v>72</v>
      </c>
      <c r="E27" s="11">
        <v>3</v>
      </c>
      <c r="F27" s="12">
        <v>20</v>
      </c>
      <c r="G27" s="13">
        <f t="shared" ref="G27:G35" si="3">E27*F27</f>
        <v>60</v>
      </c>
      <c r="H27" s="14" t="s">
        <v>73</v>
      </c>
    </row>
    <row r="28" spans="1:8" x14ac:dyDescent="0.2">
      <c r="A28" s="9">
        <v>26</v>
      </c>
      <c r="B28" s="17" t="s">
        <v>4</v>
      </c>
      <c r="C28" s="17" t="s">
        <v>51</v>
      </c>
      <c r="D28" s="10" t="s">
        <v>52</v>
      </c>
      <c r="E28" s="11">
        <v>1</v>
      </c>
      <c r="F28" s="12">
        <v>25</v>
      </c>
      <c r="G28" s="13">
        <f t="shared" si="3"/>
        <v>25</v>
      </c>
      <c r="H28" s="14" t="s">
        <v>27</v>
      </c>
    </row>
    <row r="29" spans="1:8" x14ac:dyDescent="0.2">
      <c r="A29" s="9">
        <v>27</v>
      </c>
      <c r="B29" s="17" t="s">
        <v>4</v>
      </c>
      <c r="C29" s="17" t="s">
        <v>53</v>
      </c>
      <c r="D29" s="10" t="s">
        <v>54</v>
      </c>
      <c r="E29" s="11">
        <v>1</v>
      </c>
      <c r="F29" s="12">
        <v>15</v>
      </c>
      <c r="G29" s="13">
        <f t="shared" si="3"/>
        <v>15</v>
      </c>
      <c r="H29" s="14" t="s">
        <v>27</v>
      </c>
    </row>
    <row r="30" spans="1:8" ht="30" x14ac:dyDescent="0.2">
      <c r="A30" s="9">
        <v>28</v>
      </c>
      <c r="B30" s="17" t="s">
        <v>4</v>
      </c>
      <c r="C30" s="17" t="s">
        <v>55</v>
      </c>
      <c r="D30" s="10" t="s">
        <v>56</v>
      </c>
      <c r="E30" s="11">
        <v>1</v>
      </c>
      <c r="F30" s="12">
        <v>20</v>
      </c>
      <c r="G30" s="13">
        <f t="shared" si="3"/>
        <v>20</v>
      </c>
      <c r="H30" s="14" t="s">
        <v>27</v>
      </c>
    </row>
    <row r="31" spans="1:8" x14ac:dyDescent="0.2">
      <c r="A31" s="2"/>
      <c r="B31" s="25" t="s">
        <v>62</v>
      </c>
      <c r="C31" s="25" t="s">
        <v>63</v>
      </c>
      <c r="D31" s="2" t="s">
        <v>65</v>
      </c>
      <c r="E31" s="2">
        <v>1</v>
      </c>
      <c r="F31" s="19">
        <v>60</v>
      </c>
      <c r="G31" s="2">
        <f t="shared" si="3"/>
        <v>60</v>
      </c>
      <c r="H31" s="2"/>
    </row>
    <row r="32" spans="1:8" x14ac:dyDescent="0.2">
      <c r="A32" s="2"/>
      <c r="B32" s="25" t="s">
        <v>62</v>
      </c>
      <c r="C32" s="25" t="s">
        <v>64</v>
      </c>
      <c r="D32" s="2" t="s">
        <v>64</v>
      </c>
      <c r="E32" s="2">
        <v>1</v>
      </c>
      <c r="F32" s="3">
        <v>10</v>
      </c>
      <c r="G32" s="4">
        <f t="shared" si="3"/>
        <v>10</v>
      </c>
      <c r="H32" s="2"/>
    </row>
    <row r="33" spans="2:7" x14ac:dyDescent="0.2">
      <c r="B33" s="20" t="s">
        <v>66</v>
      </c>
      <c r="C33" s="20" t="s">
        <v>67</v>
      </c>
      <c r="D33" s="21" t="s">
        <v>68</v>
      </c>
      <c r="E33" s="22">
        <v>1</v>
      </c>
      <c r="F33" s="23">
        <v>30</v>
      </c>
      <c r="G33" s="24">
        <f t="shared" si="3"/>
        <v>30</v>
      </c>
    </row>
    <row r="34" spans="2:7" x14ac:dyDescent="0.2">
      <c r="B34" s="20" t="s">
        <v>62</v>
      </c>
      <c r="C34" s="20" t="s">
        <v>69</v>
      </c>
      <c r="D34" s="21" t="s">
        <v>70</v>
      </c>
      <c r="E34">
        <v>1</v>
      </c>
      <c r="F34" s="23">
        <v>30</v>
      </c>
      <c r="G34" s="24">
        <f t="shared" si="3"/>
        <v>30</v>
      </c>
    </row>
    <row r="35" spans="2:7" x14ac:dyDescent="0.2">
      <c r="B35" s="20" t="s">
        <v>62</v>
      </c>
      <c r="C35" s="20" t="s">
        <v>71</v>
      </c>
      <c r="D35" s="21" t="s">
        <v>70</v>
      </c>
      <c r="E35">
        <v>1</v>
      </c>
      <c r="F35" s="23">
        <v>10</v>
      </c>
      <c r="G35" s="24">
        <f t="shared" si="3"/>
        <v>10</v>
      </c>
    </row>
    <row r="36" spans="2:7" x14ac:dyDescent="0.2">
      <c r="F36" s="26" t="s">
        <v>5</v>
      </c>
      <c r="G36" s="27">
        <f>SUM(G5:G35)</f>
        <v>1340.94</v>
      </c>
    </row>
  </sheetData>
  <autoFilter ref="A4:H30" xr:uid="{00000000-0009-0000-0000-000001000000}"/>
  <hyperlinks>
    <hyperlink ref="H6" r:id="rId1" xr:uid="{00000000-0004-0000-0100-000000000000}"/>
    <hyperlink ref="H7" r:id="rId2" xr:uid="{00000000-0004-0000-0100-000001000000}"/>
    <hyperlink ref="H8" r:id="rId3" xr:uid="{00000000-0004-0000-0100-000002000000}"/>
    <hyperlink ref="H9" r:id="rId4" xr:uid="{00000000-0004-0000-0100-000003000000}"/>
    <hyperlink ref="H10" r:id="rId5" xr:uid="{00000000-0004-0000-0100-000005000000}"/>
    <hyperlink ref="H11" r:id="rId6" display="https://motionrc.com/products/radiomaster-pocket-16-channel-elrs-transmitter-charcoal-hp0157-0054-m2?gad_source=1&amp;gad_campaignid=23757726221&amp;gbraid=0AAAAADrr98ZWJkUAv8GnFu_71upZFhMhv&amp;gclid=CjwKCAjw0LzWBhBOEiwAKQd0cHYq1ppROZBfLDS3q2CaiCa0KkktErPWUhd9itjtoTUc-FBoVPec1hoCVCIQAvD_BwE" xr:uid="{00000000-0004-0000-0100-000006000000}"/>
    <hyperlink ref="H13" r:id="rId7" xr:uid="{00000000-0004-0000-0100-000007000000}"/>
    <hyperlink ref="H14" r:id="rId8" xr:uid="{00000000-0004-0000-0100-000008000000}"/>
    <hyperlink ref="H15" r:id="rId9" xr:uid="{00000000-0004-0000-0100-000009000000}"/>
    <hyperlink ref="H16" r:id="rId10" xr:uid="{00000000-0004-0000-0100-00000B000000}"/>
    <hyperlink ref="H17" r:id="rId11" xr:uid="{00000000-0004-0000-0100-00000C000000}"/>
    <hyperlink ref="H18" r:id="rId12" xr:uid="{00000000-0004-0000-0100-00000D000000}"/>
    <hyperlink ref="H19" r:id="rId13" xr:uid="{00000000-0004-0000-0100-00000E000000}"/>
    <hyperlink ref="H22" r:id="rId14" xr:uid="{00000000-0004-0000-0100-000012000000}"/>
    <hyperlink ref="H23" r:id="rId15" xr:uid="{00000000-0004-0000-0100-000013000000}"/>
    <hyperlink ref="H24" r:id="rId16" xr:uid="{00000000-0004-0000-0100-000014000000}"/>
    <hyperlink ref="H25" r:id="rId17" xr:uid="{00000000-0004-0000-0100-000015000000}"/>
    <hyperlink ref="H28" r:id="rId18" xr:uid="{00000000-0004-0000-0100-000019000000}"/>
    <hyperlink ref="H29" r:id="rId19" xr:uid="{00000000-0004-0000-0100-00001A000000}"/>
    <hyperlink ref="H30" r:id="rId20" xr:uid="{00000000-0004-0000-0100-00001B000000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Saini, Divyam</cp:lastModifiedBy>
  <cp:revision>0</cp:revision>
  <dcterms:created xsi:type="dcterms:W3CDTF">2026-10-14T19:32:34Z</dcterms:created>
  <dcterms:modified xsi:type="dcterms:W3CDTF">2026-10-21T23:33:07Z</dcterms:modified>
  <dc:language>en-US</dc:language>
</cp:coreProperties>
</file>